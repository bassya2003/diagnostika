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Смета" sheetId="1" state="visible" r:id="rId3"/>
    <sheet name="Регулярные расходы (OPEX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<sst xmlns="http://schemas.openxmlformats.org/spreadsheetml/2006/main" count="55" uniqueCount="54">
  <si>
    <t xml:space="preserve">Смета проекта Sana Space — переход на масштабируемую платформу</t>
  </si>
  <si>
    <t xml:space="preserve">Период реализации: 3–6 месяцев · Все суммы в тенге (₸) · Оценочные величины, подлежат уточнению по итогам ТЗ</t>
  </si>
  <si>
    <t xml:space="preserve">№</t>
  </si>
  <si>
    <t xml:space="preserve">Статья расходов</t>
  </si>
  <si>
    <t xml:space="preserve">Описание</t>
  </si>
  <si>
    <t xml:space="preserve">Сумма, ₸</t>
  </si>
  <si>
    <t xml:space="preserve">Доля, %</t>
  </si>
  <si>
    <t xml:space="preserve">Разработка базы данных</t>
  </si>
  <si>
    <t xml:space="preserve">Self-hosted PostgreSQL (или Supabase, развернутый на собственном сервере в РК) — управляемое зарубежное облако Supabase не подходит из-за требований локализации ПДн</t>
  </si>
  <si>
    <t xml:space="preserve">Day-gating и логика программы</t>
  </si>
  <si>
    <t xml:space="preserve">Привязка 8 дней программы к датам, автоматическое открытие/закрытие контента, напоминания</t>
  </si>
  <si>
    <t xml:space="preserve">Интеграция онлайн-оплаты</t>
  </si>
  <si>
    <t xml:space="preserve">Подключение Kaspi Pay / эквайринг для приема оплаты на сайте вместо ручных переводов (комиссия эквайринга ~2.5-3.9% с платежа — операционные расходы, не входит в смету разработки)</t>
  </si>
  <si>
    <t xml:space="preserve">Хостинг и инфраструктура в РК</t>
  </si>
  <si>
    <t xml:space="preserve">Размещение сервера с базой ПДн на территории Казахстана (требование ст. 12 закона №94-V «О персональных данных и их защите»)</t>
  </si>
  <si>
    <t xml:space="preserve">Доработка ИИ-ассистента</t>
  </si>
  <si>
    <t xml:space="preserve">Расширение живого ИИ-диалога с Дня 3 на все 8 дней программы</t>
  </si>
  <si>
    <t xml:space="preserve">Мультипользовательский кабинет консультанта</t>
  </si>
  <si>
    <t xml:space="preserve">Поддержка нескольких консультантов, разграничение доступа, экспорт заключений + обучение консультантов работе с кабинетом</t>
  </si>
  <si>
    <t xml:space="preserve">Брендинг и UI под национальный масштаб</t>
  </si>
  <si>
    <t xml:space="preserve">Дизайн-система на 5-7 ключевых экранов платформы, адаптация UI-кита под мобильные устройства, сборка гайдлайна — расширенный объем под национальный запуск</t>
  </si>
  <si>
    <t xml:space="preserve">Тестирование и запуск</t>
  </si>
  <si>
    <t xml:space="preserve">QA, нагрузочное тестирование, пилотный запуск с первой группой школ</t>
  </si>
  <si>
    <t xml:space="preserve">SMS / WhatsApp шлюз</t>
  </si>
  <si>
    <t xml:space="preserve">Авторизация по номеру телефона и напоминания о днях программы (Mobizon, Smsc.kz или WhatsApp Business API)</t>
  </si>
  <si>
    <t xml:space="preserve">Legal-блок</t>
  </si>
  <si>
    <t xml:space="preserve">Политика конфиденциальности, публичная оферта, форма согласия на сбор и обработку персональных данных — обязательны для приема оплаты и работы с несовершеннолетними</t>
  </si>
  <si>
    <t xml:space="preserve">Mobile-first / PWA-оптимизация</t>
  </si>
  <si>
    <t xml:space="preserve">Полноценная работа платформы в мобильном браузере без установки приложения — приоритет, так как подростки и родители заходят с телефонов</t>
  </si>
  <si>
    <t xml:space="preserve">Резерв на непредвиденные расходы (15%)</t>
  </si>
  <si>
    <t xml:space="preserve">Курсовые колебания, доп. доработки по итогам тестирования — повышен с 10% до 15% для IT-разработки на 3-6 мес</t>
  </si>
  <si>
    <t xml:space="preserve">ИТОГО (запрашиваемая сумма гранта)</t>
  </si>
  <si>
    <t xml:space="preserve">Примечание: суммы — оценка автора проекта на основе стоимости аналогичных доработок на рынке РК, уточняются на этапе технического задания.</t>
  </si>
  <si>
    <t xml:space="preserve">Регулярные ежемесячные расходы на содержание платформы после запуска</t>
  </si>
  <si>
    <t xml:space="preserve">Не входят в разовую смету разработки — операционные расходы (OPEX), финансируются из выручки</t>
  </si>
  <si>
    <t xml:space="preserve">Статья</t>
  </si>
  <si>
    <t xml:space="preserve">Стоимость в месяц, ₸</t>
  </si>
  <si>
    <t xml:space="preserve">Примечание</t>
  </si>
  <si>
    <t xml:space="preserve">Аренда VPS в РК (PS.kz / KazInfra)</t>
  </si>
  <si>
    <t xml:space="preserve">15 000 – 35 000</t>
  </si>
  <si>
    <t xml:space="preserve">Под базу данных и бэкенд</t>
  </si>
  <si>
    <t xml:space="preserve">API ИИ-ассистента (Claude / OpenAI)</t>
  </si>
  <si>
    <t xml:space="preserve">20 000 – 60 000</t>
  </si>
  <si>
    <t xml:space="preserve">Зависит от количества запросов учеников</t>
  </si>
  <si>
    <t xml:space="preserve">SMS / WhatsApp рассылки</t>
  </si>
  <si>
    <t xml:space="preserve">10 000 – 30 000</t>
  </si>
  <si>
    <t xml:space="preserve">Оплата за каждое отправленное сообщение</t>
  </si>
  <si>
    <t xml:space="preserve">Доменное имя .KZ / .COM</t>
  </si>
  <si>
    <t xml:space="preserve">≈300 – 830 (в пересчете с года)</t>
  </si>
  <si>
    <t xml:space="preserve">3 500–10 000 ₸/год, разово</t>
  </si>
  <si>
    <t xml:space="preserve">Комиссия эквайринга (Kaspi Pay / Freedom)</t>
  </si>
  <si>
    <t xml:space="preserve">2.5% – 3.9% с платежа</t>
  </si>
  <si>
    <t xml:space="preserve">Не фиксированная сумма, зависит от оборота</t>
  </si>
  <si>
    <t xml:space="preserve">Итого без учета комиссии эквайринга: ориентировочно 45 000 – 125 000 ₸/мес — покрывается из выручки от продаж программы, отдельного финансирования не требует.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</si>
</sst>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B2B4C"/>
        <bgColor rgb="FF003366"/>
      </patternFill>
    </fill>
    <fill>
      <patternFill patternType="solid">
        <fgColor rgb="FFF0F0F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0F0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B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62"/>
    <col collapsed="false" customWidth="true" hidden="false" outlineLevel="0" max="5" min="4" style="0" width="16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33.75" hidden="false" customHeight="true" outlineLevel="0" collapsed="false">
      <c r="A5" s="4" t="n">
        <v>1</v>
      </c>
      <c r="B5" s="4" t="s">
        <v>7</v>
      </c>
      <c r="C5" s="5" t="s">
        <v>8</v>
      </c>
      <c r="D5" s="6" t="n">
        <v>600000</v>
      </c>
      <c r="E5" s="7" t="n">
        <f aca="false">D5/$D$17</f>
        <v>0.168574840205099</v>
      </c>
    </row>
    <row r="6" customFormat="false" ht="33.75" hidden="false" customHeight="true" outlineLevel="0" collapsed="false">
      <c r="A6" s="4" t="n">
        <v>2</v>
      </c>
      <c r="B6" s="4" t="s">
        <v>9</v>
      </c>
      <c r="C6" s="5" t="s">
        <v>10</v>
      </c>
      <c r="D6" s="6" t="n">
        <v>250000</v>
      </c>
      <c r="E6" s="7" t="n">
        <f aca="false">D6/$D$17</f>
        <v>0.0702395167521247</v>
      </c>
    </row>
    <row r="7" customFormat="false" ht="33.75" hidden="false" customHeight="true" outlineLevel="0" collapsed="false">
      <c r="A7" s="4" t="n">
        <v>3</v>
      </c>
      <c r="B7" s="4" t="s">
        <v>11</v>
      </c>
      <c r="C7" s="5" t="s">
        <v>12</v>
      </c>
      <c r="D7" s="6" t="n">
        <v>350000</v>
      </c>
      <c r="E7" s="7" t="n">
        <f aca="false">D7/$D$17</f>
        <v>0.0983353234529747</v>
      </c>
    </row>
    <row r="8" customFormat="false" ht="33.75" hidden="false" customHeight="true" outlineLevel="0" collapsed="false">
      <c r="A8" s="4" t="n">
        <v>4</v>
      </c>
      <c r="B8" s="4" t="s">
        <v>13</v>
      </c>
      <c r="C8" s="5" t="s">
        <v>14</v>
      </c>
      <c r="D8" s="6" t="n">
        <v>300000</v>
      </c>
      <c r="E8" s="7" t="n">
        <f aca="false">D8/$D$17</f>
        <v>0.0842874201025497</v>
      </c>
    </row>
    <row r="9" customFormat="false" ht="33.75" hidden="false" customHeight="true" outlineLevel="0" collapsed="false">
      <c r="A9" s="4" t="n">
        <v>5</v>
      </c>
      <c r="B9" s="4" t="s">
        <v>15</v>
      </c>
      <c r="C9" s="5" t="s">
        <v>16</v>
      </c>
      <c r="D9" s="6" t="n">
        <v>350000</v>
      </c>
      <c r="E9" s="7" t="n">
        <f aca="false">D9/$D$17</f>
        <v>0.0983353234529747</v>
      </c>
    </row>
    <row r="10" customFormat="false" ht="33.75" hidden="false" customHeight="true" outlineLevel="0" collapsed="false">
      <c r="A10" s="4" t="n">
        <v>6</v>
      </c>
      <c r="B10" s="4" t="s">
        <v>17</v>
      </c>
      <c r="C10" s="5" t="s">
        <v>18</v>
      </c>
      <c r="D10" s="6" t="n">
        <v>300000</v>
      </c>
      <c r="E10" s="7" t="n">
        <f aca="false">D10/$D$17</f>
        <v>0.0842874201025497</v>
      </c>
    </row>
    <row r="11" customFormat="false" ht="33.75" hidden="false" customHeight="true" outlineLevel="0" collapsed="false">
      <c r="A11" s="4" t="n">
        <v>7</v>
      </c>
      <c r="B11" s="4" t="s">
        <v>19</v>
      </c>
      <c r="C11" s="5" t="s">
        <v>20</v>
      </c>
      <c r="D11" s="6" t="n">
        <v>400000</v>
      </c>
      <c r="E11" s="7" t="n">
        <f aca="false">D11/$D$17</f>
        <v>0.1123832268034</v>
      </c>
    </row>
    <row r="12" customFormat="false" ht="33.75" hidden="false" customHeight="true" outlineLevel="0" collapsed="false">
      <c r="A12" s="4" t="n">
        <v>8</v>
      </c>
      <c r="B12" s="4" t="s">
        <v>21</v>
      </c>
      <c r="C12" s="5" t="s">
        <v>22</v>
      </c>
      <c r="D12" s="6" t="n">
        <v>150000</v>
      </c>
      <c r="E12" s="7" t="n">
        <f aca="false">D12/$D$17</f>
        <v>0.0421437100512748</v>
      </c>
    </row>
    <row r="13" customFormat="false" ht="33.75" hidden="false" customHeight="true" outlineLevel="0" collapsed="false">
      <c r="A13" s="4" t="n">
        <v>9</v>
      </c>
      <c r="B13" s="4" t="s">
        <v>23</v>
      </c>
      <c r="C13" s="5" t="s">
        <v>24</v>
      </c>
      <c r="D13" s="6" t="n">
        <v>120000</v>
      </c>
      <c r="E13" s="7" t="n">
        <f aca="false">D13/$D$17</f>
        <v>0.0337149680410199</v>
      </c>
    </row>
    <row r="14" customFormat="false" ht="33.75" hidden="false" customHeight="true" outlineLevel="0" collapsed="false">
      <c r="A14" s="4" t="n">
        <v>10</v>
      </c>
      <c r="B14" s="4" t="s">
        <v>25</v>
      </c>
      <c r="C14" s="5" t="s">
        <v>26</v>
      </c>
      <c r="D14" s="6" t="n">
        <v>100000</v>
      </c>
      <c r="E14" s="7" t="n">
        <f aca="false">D14/$D$17</f>
        <v>0.0280958067008499</v>
      </c>
    </row>
    <row r="15" customFormat="false" ht="33.75" hidden="false" customHeight="true" outlineLevel="0" collapsed="false">
      <c r="A15" s="4" t="n">
        <v>11</v>
      </c>
      <c r="B15" s="4" t="s">
        <v>27</v>
      </c>
      <c r="C15" s="5" t="s">
        <v>28</v>
      </c>
      <c r="D15" s="6" t="n">
        <v>175000</v>
      </c>
      <c r="E15" s="7" t="n">
        <f aca="false">D15/$D$17</f>
        <v>0.0491676617264873</v>
      </c>
    </row>
    <row r="16" customFormat="false" ht="33.75" hidden="false" customHeight="true" outlineLevel="0" collapsed="false">
      <c r="A16" s="4" t="n">
        <v>12</v>
      </c>
      <c r="B16" s="4" t="s">
        <v>29</v>
      </c>
      <c r="C16" s="5" t="s">
        <v>30</v>
      </c>
      <c r="D16" s="6" t="n">
        <f aca="false">SUM(D5:D15)*0.15</f>
        <v>464250</v>
      </c>
      <c r="E16" s="7" t="n">
        <f aca="false">D16/$D$17</f>
        <v>0.130434782608696</v>
      </c>
    </row>
    <row r="17" customFormat="false" ht="33.75" hidden="false" customHeight="true" outlineLevel="0" collapsed="false">
      <c r="A17" s="8"/>
      <c r="B17" s="9" t="s">
        <v>31</v>
      </c>
      <c r="C17" s="8"/>
      <c r="D17" s="10" t="n">
        <f aca="false">SUM(D5:D16)</f>
        <v>3559250</v>
      </c>
      <c r="E17" s="11" t="n">
        <f aca="false">D17/$D$17</f>
        <v>1</v>
      </c>
    </row>
    <row r="19" customFormat="false" ht="15" hidden="false" customHeight="true" outlineLevel="0" collapsed="false">
      <c r="A19" s="12" t="s">
        <v>32</v>
      </c>
      <c r="B19" s="12"/>
      <c r="C19" s="12"/>
      <c r="D19" s="12"/>
      <c r="E19" s="12"/>
    </row>
  </sheetData>
  <mergeCells count="3">
    <mergeCell ref="A1:E1"/>
    <mergeCell ref="A2:E2"/>
    <mergeCell ref="A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46"/>
  </cols>
  <sheetData>
    <row r="1" customFormat="false" ht="17.35" hidden="false" customHeight="false" outlineLevel="0" collapsed="false">
      <c r="A1" s="1" t="s">
        <v>33</v>
      </c>
      <c r="B1" s="1"/>
      <c r="C1" s="1"/>
      <c r="D1" s="1"/>
    </row>
    <row r="2" customFormat="false" ht="15" hidden="false" customHeight="false" outlineLevel="0" collapsed="false">
      <c r="A2" s="2" t="s">
        <v>34</v>
      </c>
      <c r="B2" s="2"/>
      <c r="C2" s="2"/>
      <c r="D2" s="2"/>
    </row>
    <row r="4" customFormat="false" ht="26.85" hidden="false" customHeight="false" outlineLevel="0" collapsed="false">
      <c r="A4" s="3" t="s">
        <v>2</v>
      </c>
      <c r="B4" s="3" t="s">
        <v>35</v>
      </c>
      <c r="C4" s="3" t="s">
        <v>36</v>
      </c>
      <c r="D4" s="3" t="s">
        <v>37</v>
      </c>
    </row>
    <row r="5" customFormat="false" ht="30" hidden="false" customHeight="true" outlineLevel="0" collapsed="false">
      <c r="A5" s="4" t="n">
        <v>1</v>
      </c>
      <c r="B5" s="4" t="s">
        <v>38</v>
      </c>
      <c r="C5" s="13" t="s">
        <v>39</v>
      </c>
      <c r="D5" s="5" t="s">
        <v>40</v>
      </c>
    </row>
    <row r="6" customFormat="false" ht="30" hidden="false" customHeight="true" outlineLevel="0" collapsed="false">
      <c r="A6" s="4" t="n">
        <v>2</v>
      </c>
      <c r="B6" s="4" t="s">
        <v>41</v>
      </c>
      <c r="C6" s="13" t="s">
        <v>42</v>
      </c>
      <c r="D6" s="5" t="s">
        <v>43</v>
      </c>
    </row>
    <row r="7" customFormat="false" ht="30" hidden="false" customHeight="true" outlineLevel="0" collapsed="false">
      <c r="A7" s="4" t="n">
        <v>3</v>
      </c>
      <c r="B7" s="4" t="s">
        <v>44</v>
      </c>
      <c r="C7" s="13" t="s">
        <v>45</v>
      </c>
      <c r="D7" s="5" t="s">
        <v>46</v>
      </c>
    </row>
    <row r="8" customFormat="false" ht="30" hidden="false" customHeight="true" outlineLevel="0" collapsed="false">
      <c r="A8" s="4" t="n">
        <v>4</v>
      </c>
      <c r="B8" s="4" t="s">
        <v>47</v>
      </c>
      <c r="C8" s="13" t="s">
        <v>48</v>
      </c>
      <c r="D8" s="5" t="s">
        <v>49</v>
      </c>
    </row>
    <row r="9" customFormat="false" ht="30" hidden="false" customHeight="true" outlineLevel="0" collapsed="false">
      <c r="A9" s="4" t="n">
        <v>5</v>
      </c>
      <c r="B9" s="4" t="s">
        <v>50</v>
      </c>
      <c r="C9" s="13" t="s">
        <v>51</v>
      </c>
      <c r="D9" s="5" t="s">
        <v>52</v>
      </c>
    </row>
    <row r="11" customFormat="false" ht="23.85" hidden="false" customHeight="true" outlineLevel="0" collapsed="false">
      <c r="A11" s="12" t="s">
        <v>53</v>
      </c>
      <c r="B11" s="12"/>
      <c r="C11" s="12"/>
      <c r="D11" s="12"/>
    </row>
  </sheetData>
  <mergeCells count="3">
    <mergeCell ref="A1:D1"/>
    <mergeCell ref="A2:D2"/>
    <mergeCell ref="A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2026-08-01T11:41:46Z</dcterms:created>
  <dc:creator>openpyxl</dc:creator>
  <dc:description/>
  <dc:language>en-US</dc:language>
  <cp:lastModifiedBy/>
  <dcterms:modified xsi:type="dcterms:W3CDTF">2026-08-01T11:41:46Z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